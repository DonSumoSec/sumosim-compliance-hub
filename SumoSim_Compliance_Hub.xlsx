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0" documentId="8_{DD28253D-E0C9-4D69-BFFB-890FCE91EBBE}" xr6:coauthVersionLast="47" xr6:coauthVersionMax="47" xr10:uidLastSave="{00000000-0000-0000-0000-000000000000}"/>
  <bookViews>
    <workbookView xWindow="0" yWindow="0" windowWidth="16384" windowHeight="8192" tabRatio="500" activeTab="1" xr2:uid="{00000000-000D-0000-FFFF-FFFF00000000}"/>
  </bookViews>
  <sheets>
    <sheet name="📊 Dashboard" sheetId="1" r:id="rId1"/>
    <sheet name="📝 Content Library" sheetId="2" r:id="rId2"/>
    <sheet name="🔄 Version History" sheetId="3" r:id="rId3"/>
    <sheet name="🌐 Website Update Workflow" sheetId="4" r:id="rId4"/>
    <sheet name="📅 Review Calendar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I21" i="1"/>
  <c r="G21" i="1"/>
  <c r="E21" i="1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E5" i="5" s="1"/>
  <c r="E18" i="5" l="1"/>
  <c r="G18" i="5"/>
  <c r="G5" i="5"/>
  <c r="G6" i="5"/>
  <c r="E6" i="5"/>
  <c r="G7" i="5"/>
  <c r="E7" i="5"/>
  <c r="G8" i="5"/>
  <c r="E8" i="5"/>
  <c r="G9" i="5"/>
  <c r="E9" i="5"/>
  <c r="G10" i="5"/>
  <c r="E10" i="5"/>
  <c r="G11" i="5"/>
  <c r="E11" i="5"/>
  <c r="G12" i="5"/>
  <c r="E12" i="5"/>
  <c r="G13" i="5"/>
  <c r="E13" i="5"/>
  <c r="G14" i="5"/>
  <c r="E14" i="5"/>
  <c r="G15" i="5"/>
  <c r="E15" i="5"/>
  <c r="G16" i="5"/>
  <c r="E16" i="5"/>
  <c r="G17" i="5"/>
  <c r="E17" i="5"/>
</calcChain>
</file>

<file path=xl/sharedStrings.xml><?xml version="1.0" encoding="utf-8"?>
<sst xmlns="http://schemas.openxmlformats.org/spreadsheetml/2006/main" count="412" uniqueCount="208">
  <si>
    <t>SUMOSIM  |  COMPLIANCE HUB</t>
  </si>
  <si>
    <t>Legal &amp; Regulatory Content Management — Single Source of Truth</t>
  </si>
  <si>
    <t>Last updated: 12 Mar 2026</t>
  </si>
  <si>
    <t>DOCUMENT</t>
  </si>
  <si>
    <t>CATEGORY</t>
  </si>
  <si>
    <t>VERSION</t>
  </si>
  <si>
    <t>STATUS</t>
  </si>
  <si>
    <t>REVIEWED BY</t>
  </si>
  <si>
    <t>LAST REVIEWED</t>
  </si>
  <si>
    <t>NEXT REVIEW</t>
  </si>
  <si>
    <t>WEBSITE PAGE</t>
  </si>
  <si>
    <t>PUBLISHED?</t>
  </si>
  <si>
    <t>Terms and Conditions</t>
  </si>
  <si>
    <t>Legal</t>
  </si>
  <si>
    <t>Under Review</t>
  </si>
  <si>
    <t>Legal Team</t>
  </si>
  <si>
    <t>15 Jan 2026</t>
  </si>
  <si>
    <t>/terms</t>
  </si>
  <si>
    <t>No</t>
  </si>
  <si>
    <t>Privacy Policy</t>
  </si>
  <si>
    <t>Privacy</t>
  </si>
  <si>
    <t>15 Jan 2027</t>
  </si>
  <si>
    <t>/privacy-policy</t>
  </si>
  <si>
    <t>Cookie Policy</t>
  </si>
  <si>
    <t>15 Jul 2026</t>
  </si>
  <si>
    <t>/cookie-policy</t>
  </si>
  <si>
    <t>Acceptable Use Policy</t>
  </si>
  <si>
    <t>1.1</t>
  </si>
  <si>
    <t>Live</t>
  </si>
  <si>
    <t>01 Feb 2026</t>
  </si>
  <si>
    <t>01 Feb 2027</t>
  </si>
  <si>
    <t>/aup</t>
  </si>
  <si>
    <t>Yes</t>
  </si>
  <si>
    <t>Vulnerability Situation Policy</t>
  </si>
  <si>
    <t>Security</t>
  </si>
  <si>
    <t>1.0</t>
  </si>
  <si>
    <t>CTO</t>
  </si>
  <si>
    <t>10 Mar 2026</t>
  </si>
  <si>
    <t>10 Mar 2027</t>
  </si>
  <si>
    <t>/vulnerability</t>
  </si>
  <si>
    <t>Privacy Notice</t>
  </si>
  <si>
    <t>1.2</t>
  </si>
  <si>
    <t>/privacy-notice</t>
  </si>
  <si>
    <t>Security Policy</t>
  </si>
  <si>
    <t>Draft</t>
  </si>
  <si>
    <t>01 Mar 2026</t>
  </si>
  <si>
    <t>01 Mar 2027</t>
  </si>
  <si>
    <t>/security-policy</t>
  </si>
  <si>
    <t>Pending</t>
  </si>
  <si>
    <t>Customer Code of Practice</t>
  </si>
  <si>
    <t>Consumer</t>
  </si>
  <si>
    <t>CEO</t>
  </si>
  <si>
    <t>20 Jan 2026</t>
  </si>
  <si>
    <t>20 Jan 2027</t>
  </si>
  <si>
    <t>/code-of-practice</t>
  </si>
  <si>
    <t>Accessibility Policy</t>
  </si>
  <si>
    <t>Ops</t>
  </si>
  <si>
    <t>/accessibility</t>
  </si>
  <si>
    <t>MVNO Fair Use Policy</t>
  </si>
  <si>
    <t>Telecoms</t>
  </si>
  <si>
    <t>01 Sep 2026</t>
  </si>
  <si>
    <t>/fair-use</t>
  </si>
  <si>
    <t>Crypto Rewards T&amp;Cs</t>
  </si>
  <si>
    <t>Crypto</t>
  </si>
  <si>
    <t>/crypto-terms</t>
  </si>
  <si>
    <t>Data Retention Policy</t>
  </si>
  <si>
    <t>/data-retention</t>
  </si>
  <si>
    <t>Complaints Policy</t>
  </si>
  <si>
    <t>/complaints</t>
  </si>
  <si>
    <t>Gamification &amp; Referral Policy</t>
  </si>
  <si>
    <t>/gamification</t>
  </si>
  <si>
    <t>TOTAL DOCUMENTS: 14</t>
  </si>
  <si>
    <t>Live docs</t>
  </si>
  <si>
    <t>Draft docs</t>
  </si>
  <si>
    <t>Published</t>
  </si>
  <si>
    <t>📝  CONTENT LIBRARY  —  All Legal &amp; Compliance Documents</t>
  </si>
  <si>
    <t>DOCUMENT NAME</t>
  </si>
  <si>
    <t>SECTION</t>
  </si>
  <si>
    <t>CURRENT CONTENT (LIVE)</t>
  </si>
  <si>
    <t>DRAFT / PENDING UPDATE</t>
  </si>
  <si>
    <t>NOTES FOR CLAUDE</t>
  </si>
  <si>
    <t>1. Parties</t>
  </si>
  <si>
    <t>This agreement is between SumoSim Ltd (registered in England &amp; Wales, Co. No. XXXXXXXX) and the subscriber.</t>
  </si>
  <si>
    <t>—</t>
  </si>
  <si>
    <t>Co. number confirmed: 16233377. Update content to reflect this.</t>
  </si>
  <si>
    <t>2. Service Description</t>
  </si>
  <si>
    <t>SumoSim provides MVNO mobile services in the United Kingdom with cryptocurrency cashback rewards on qualifying spend.</t>
  </si>
  <si>
    <t>Crypto cashback rate placeholder [RATE]% — update once rates confirmed with CEO.</t>
  </si>
  <si>
    <t>3. Payment Terms</t>
  </si>
  <si>
    <t>Monthly plans are billed in advance. SIMs activate within 24 hours of successful payment.</t>
  </si>
  <si>
    <t>1. Who We Are</t>
  </si>
  <si>
    <t>SumoSim Ltd is the data controller for personal data collected via sumosim.com and our mobile services.</t>
  </si>
  <si>
    <t>ICO registration number confirmed: ZB980254. Update content to reflect this.</t>
  </si>
  <si>
    <t>2. Data We Collect</t>
  </si>
  <si>
    <t>We collect name, address, email, phone number, payment details, and usage data for service delivery.</t>
  </si>
  <si>
    <t>Add crypto wallet address collection.</t>
  </si>
  <si>
    <t>3. Legal Basis</t>
  </si>
  <si>
    <t>We process data under contract performance (Art. 6(1)(b) UK GDPR) and legitimate interests.</t>
  </si>
  <si>
    <t>1. What Cookies We Use</t>
  </si>
  <si>
    <t>We use strictly necessary cookies, analytics cookies (Google Analytics), and functional cookies.</t>
  </si>
  <si>
    <t>Add Crisp chat cookie.</t>
  </si>
  <si>
    <t>2. How to Opt Out</t>
  </si>
  <si>
    <t>You can manage cookies via our cookie banner or your browser settings at any time.</t>
  </si>
  <si>
    <t>1. Prohibited Activities</t>
  </si>
  <si>
    <t>You must not use SumoSim services for illegal activity, spam, network abuse, or resale without written consent.</t>
  </si>
  <si>
    <t>1. Scope</t>
  </si>
  <si>
    <t>This policy applies to customers who may be in vulnerable circumstances including financial difficulty or bereavement.</t>
  </si>
  <si>
    <t>Draft — CTO to review.</t>
  </si>
  <si>
    <t>1. Incident Response</t>
  </si>
  <si>
    <t>Draft: All security incidents must be reported to security@sumosim.com within 24 hours of discovery.</t>
  </si>
  <si>
    <t>Claude: please expand into full policy using UK NCSC guidance.</t>
  </si>
  <si>
    <t>1. Our Commitment</t>
  </si>
  <si>
    <t>SumoSim is committed to fair, transparent, and accessible mobile services for all customers.</t>
  </si>
  <si>
    <t>2. Complaints</t>
  </si>
  <si>
    <t>Complaints can be submitted via help@sumosim.com. We aim to resolve within 8 weeks (Ofcom requirement).</t>
  </si>
  <si>
    <t>1. Web Accessibility</t>
  </si>
  <si>
    <t>sumosim.com targets WCAG 2.1 AA compliance. Screen reader support is available throughout.</t>
  </si>
  <si>
    <t>1. Process</t>
  </si>
  <si>
    <t>Stage 1: Contact us. Stage 2: Internal escalation (7 days). Stage 3: Ombudsman referral if unresolved.</t>
  </si>
  <si>
    <t>1. Data Usage</t>
  </si>
  <si>
    <t>Draft: Unlimited plans are subject to a 250GB monthly fair use limit. Speeds may be reduced above this threshold.</t>
  </si>
  <si>
    <t>Claude: align with Ofcom guidance on fair use for MVNOs.</t>
  </si>
  <si>
    <t>1. Earning Rewards</t>
  </si>
  <si>
    <t>Draft: Crypto cashback is earned on all qualifying SumoSim plan payments at the rate published on sumosim.com.</t>
  </si>
  <si>
    <t>Claude: ensure compliant with FCA crypto comms rules.</t>
  </si>
  <si>
    <t>1. Retention Periods</t>
  </si>
  <si>
    <t>Draft: Customer data is retained for 6 years after contract end for legal/tax compliance.</t>
  </si>
  <si>
    <t>Claude: cross-reference with ICO retention guidance.</t>
  </si>
  <si>
    <t>1. Overview</t>
  </si>
  <si>
    <t>SUMOSIM operates a gamification programme across 52 levels and 6 tiers (Rookie to Champion) rewarding customers for loyalty, engagement, and referrals with SumoPoints, Achievement Bonuses, Badges, Streaks, Leaderboards, and Airdrops.</t>
  </si>
  <si>
    <t>Version 1.1 drafted. Two TBD placeholders remain: Achievement Bonus payment timescale and Leaderboard prize payment timescale.</t>
  </si>
  <si>
    <t>SUMOSIM issues discretionary Digital Asset Rewards as a percentage ([RATE]%) of monthly plan fee, distributed to non-custodial SumoSim Wallet on last day of calendar month. Not FCA regulated. Not FSCS protected.</t>
  </si>
  <si>
    <t>Version 1.1 drafted. Crypto cashback rate [RATE]% placeholder remains — confirm with CEO before going live.</t>
  </si>
  <si>
    <t>🔄  VERSION HISTORY  —  Track All Changes</t>
  </si>
  <si>
    <t>DATE</t>
  </si>
  <si>
    <t>CHANGED BY</t>
  </si>
  <si>
    <t>CHANGE SUMMARY</t>
  </si>
  <si>
    <t>WEBSITE UPDATED?</t>
  </si>
  <si>
    <t>1.3</t>
  </si>
  <si>
    <t>Added crypto reward clause. Updated payment terms.</t>
  </si>
  <si>
    <t>10 Dec 2025</t>
  </si>
  <si>
    <t>Updated cancellation notice period to 30 days.</t>
  </si>
  <si>
    <t>01 Oct 2025</t>
  </si>
  <si>
    <t>Initial MVNO terms drafted.</t>
  </si>
  <si>
    <t>2.1</t>
  </si>
  <si>
    <t>Added crypto wallet address as personal data category.</t>
  </si>
  <si>
    <t>2.0</t>
  </si>
  <si>
    <t>01 Nov 2025</t>
  </si>
  <si>
    <t>Full rewrite for UK GDPR alignment.</t>
  </si>
  <si>
    <t>New policy — first issue.</t>
  </si>
  <si>
    <t>Added MVNO-specific restrictions.</t>
  </si>
  <si>
    <t>Added Ofcom ADR scheme reference.</t>
  </si>
  <si>
    <t>Draft — initial framework from NCSC Cyber Essentials.</t>
  </si>
  <si>
    <t>Draft created.</t>
  </si>
  <si>
    <t>Updated company registration number to 16233377.</t>
  </si>
  <si>
    <t>Version 1.1 drafted. Crypto cashback rate [RATE]% placeholder remains.</t>
  </si>
  <si>
    <t>Version 1.1 drafted. TBD placeholders for Achievement Bonus and Leaderboard prize timescales.</t>
  </si>
  <si>
    <t>🌐  WEBSITE UPDATE WORKFLOW  —  XL → sumosim.com</t>
  </si>
  <si>
    <t>STEP</t>
  </si>
  <si>
    <t>ACTION</t>
  </si>
  <si>
    <t>WHO</t>
  </si>
  <si>
    <t>TOOL</t>
  </si>
  <si>
    <t>OUTPUT</t>
  </si>
  <si>
    <t>1. Edit content</t>
  </si>
  <si>
    <t>Update 'Current Content' column in Content Library sheet with new or revised text.</t>
  </si>
  <si>
    <t>Legal / Ops</t>
  </si>
  <si>
    <t>This XL file</t>
  </si>
  <si>
    <t>Updated cell in col D</t>
  </si>
  <si>
    <t>2. Claude rewrite</t>
  </si>
  <si>
    <t>Paste cell content into Claude with prompt: 'Rewrite this compliance clause for sumosim.com — plain English, UK consumer-facing, legally accurate.' Copy output into Draft column (col E).</t>
  </si>
  <si>
    <t>Claude.ai</t>
  </si>
  <si>
    <t>Draft text in col E</t>
  </si>
  <si>
    <t>3. Internal review</t>
  </si>
  <si>
    <t>Get sign-off from relevant owner (Legal Team / CTO / CEO) per Dashboard sheet.</t>
  </si>
  <si>
    <t>Reviewer</t>
  </si>
  <si>
    <t>Email / Slack</t>
  </si>
  <si>
    <t>Status → 'Under Review'</t>
  </si>
  <si>
    <t>4. Approve</t>
  </si>
  <si>
    <t>Update Dashboard: Status → 'Live'. Log change in Version History sheet with date + summary.</t>
  </si>
  <si>
    <t>Status → 'Live'</t>
  </si>
  <si>
    <t>5. Copy to website</t>
  </si>
  <si>
    <t>Copy approved text from col D into sumosim.com CMS (Webflow / WordPress). Update page. Test link.</t>
  </si>
  <si>
    <t>Ops / Dev</t>
  </si>
  <si>
    <t>CMS</t>
  </si>
  <si>
    <t>Live page updated</t>
  </si>
  <si>
    <t>6. Mark published</t>
  </si>
  <si>
    <t>Update Dashboard: Published? → 'Yes'. Record date in Version History.</t>
  </si>
  <si>
    <t>Published? → 'Yes'</t>
  </si>
  <si>
    <t>7. Notify Crisp</t>
  </si>
  <si>
    <t>If customer-facing change (T&amp;Cs, Privacy etc) — add Crisp announcement + update help articles.</t>
  </si>
  <si>
    <t>Support</t>
  </si>
  <si>
    <t>Crisp</t>
  </si>
  <si>
    <t>Customer notified</t>
  </si>
  <si>
    <t xml:space="preserve">  CLAUDE PROMPT LIBRARY  —  Copy &amp; Use</t>
  </si>
  <si>
    <t>Rewrite for website</t>
  </si>
  <si>
    <t>Rewrite the following compliance clause for the SumoSim website. UK consumer-facing. Plain English. Legally accurate. Friendly but professional tone. Max 150 words per section.
Clause: [PASTE TEXT]</t>
  </si>
  <si>
    <t>Review for compliance</t>
  </si>
  <si>
    <t>Review this SumoSim legal clause for UK regulatory compliance (UK GDPR, Ofcom, FCA crypto comms rules). Flag any gaps or risks. Suggest improvements.
Clause: [PASTE TEXT]</t>
  </si>
  <si>
    <t>Summarise for Crisp</t>
  </si>
  <si>
    <t>Summarise the following policy update in 2 sentences for a customer notification in Crisp chat. Plain English. No legal jargon.
Update: [PASTE TEXT]</t>
  </si>
  <si>
    <t>Generate new section</t>
  </si>
  <si>
    <t>Write a new [SECTION NAME] section for SumoSim's [DOCUMENT NAME]. UK law. MVNO + crypto cashback context. Match the tone of: [PASTE EXISTING SECTION]</t>
  </si>
  <si>
    <t>📅  REVIEW CALENDAR  —  Expiry &amp; Reminder Tracker</t>
  </si>
  <si>
    <t>DAYS REMAINING</t>
  </si>
  <si>
    <t>URGENCY</t>
  </si>
  <si>
    <t>OWNER</t>
  </si>
  <si>
    <t>ACTION REQUIRED</t>
  </si>
  <si>
    <t>12 Mar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</si>
</sst>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888888"/>
      <name val="Arial"/>
      <charset val="1"/>
    </font>
    <font>
      <b/>
      <sz val="9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1B5E20"/>
      <name val="Arial"/>
      <charset val="1"/>
    </font>
    <font>
      <b/>
      <sz val="10"/>
      <color rgb="FFFFFFFF"/>
      <name val="Arial"/>
      <charset val="1"/>
    </font>
    <font>
      <b/>
      <sz val="10"/>
      <color rgb="FF0052CC"/>
      <name val="Arial"/>
      <charset val="1"/>
    </font>
    <font>
      <sz val="9"/>
      <color rgb="FF1A1A2E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9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i/>
      <sz val="9"/>
      <color rgb="FF1B5E20"/>
      <name val="Arial"/>
    </font>
  </fonts>
  <fills count="28">
    <fill>
      <patternFill patternType="none"/>
    </fill>
    <fill>
      <patternFill patternType="gray125"/>
    </fill>
    <fill>
      <patternFill patternType="solid">
        <fgColor rgb="FF000000"/>
        <bgColor rgb="FF111111"/>
      </patternFill>
    </fill>
    <fill>
      <patternFill patternType="solid">
        <fgColor rgb="FF1A1A1A"/>
        <bgColor rgb="FF1A1A2E"/>
      </patternFill>
    </fill>
    <fill>
      <patternFill patternType="solid">
        <fgColor rgb="FFFFFFFF"/>
        <bgColor rgb="FFF9F9F9"/>
      </patternFill>
    </fill>
    <fill>
      <patternFill patternType="solid">
        <fgColor rgb="FF00875A"/>
        <bgColor rgb="FF008080"/>
      </patternFill>
    </fill>
    <fill>
      <patternFill patternType="solid">
        <fgColor rgb="FFF8F8F8"/>
        <bgColor rgb="FFF9F9F9"/>
      </patternFill>
    </fill>
    <fill>
      <patternFill patternType="solid">
        <fgColor rgb="FF0052CC"/>
        <bgColor rgb="FF3366FF"/>
      </patternFill>
    </fill>
    <fill>
      <patternFill patternType="solid">
        <fgColor rgb="FFDE350B"/>
        <bgColor rgb="FFE30613"/>
      </patternFill>
    </fill>
    <fill>
      <patternFill patternType="solid">
        <fgColor rgb="FFFF8B00"/>
        <bgColor rgb="FFFF6600"/>
      </patternFill>
    </fill>
    <fill>
      <patternFill patternType="solid">
        <fgColor rgb="FFE30613"/>
        <bgColor rgb="FFDE350B"/>
      </patternFill>
    </fill>
    <fill>
      <patternFill patternType="solid">
        <fgColor rgb="FFE8F5E9"/>
        <bgColor rgb="FFE3F2FD"/>
      </patternFill>
    </fill>
    <fill>
      <patternFill patternType="solid">
        <fgColor rgb="FFF9F9F9"/>
        <bgColor rgb="FFF8F8F8"/>
      </patternFill>
    </fill>
    <fill>
      <patternFill patternType="solid">
        <fgColor rgb="FFFFF8E1"/>
        <bgColor rgb="FFF8F8F8"/>
      </patternFill>
    </fill>
    <fill>
      <patternFill patternType="solid">
        <fgColor rgb="FF111111"/>
        <bgColor rgb="FF1A1A1A"/>
      </patternFill>
    </fill>
    <fill>
      <patternFill patternType="solid">
        <fgColor rgb="FFE3F2FD"/>
        <bgColor rgb="FFE8F5E9"/>
      </patternFill>
    </fill>
    <fill>
      <patternFill patternType="solid">
        <fgColor rgb="FF1A1A2E"/>
        <bgColor rgb="FF1A1A1A"/>
      </patternFill>
    </fill>
    <fill>
      <patternFill patternType="solid">
        <fgColor rgb="FFF3F3FF"/>
        <bgColor rgb="FFF8F8F8"/>
      </patternFill>
    </fill>
    <fill>
      <patternFill patternType="solid">
        <fgColor rgb="FFE8E8FF"/>
        <bgColor rgb="FFE3F2FD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DE35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0" fillId="2" borderId="0" xfId="0" applyFill="1"/>
    <xf numFmtId="0" fontId="2" fillId="3" borderId="0" xfId="0" applyFont="1" applyFill="1" applyAlignment="1">
      <alignment horizontal="left" vertical="center" indent="2"/>
    </xf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9" fillId="14" borderId="2" xfId="0" applyFont="1" applyFill="1" applyBorder="1" applyAlignment="1">
      <alignment horizontal="left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center" indent="1"/>
    </xf>
    <xf numFmtId="0" fontId="0" fillId="10" borderId="1" xfId="0" applyFill="1" applyBorder="1"/>
    <xf numFmtId="0" fontId="3" fillId="16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left" vertical="center" wrapText="1"/>
    </xf>
    <xf numFmtId="0" fontId="11" fillId="18" borderId="2" xfId="0" applyFont="1" applyFill="1" applyBorder="1" applyAlignment="1">
      <alignment horizontal="left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15" fontId="5" fillId="4" borderId="2" xfId="0" applyNumberFormat="1" applyFont="1" applyFill="1" applyBorder="1" applyAlignment="1">
      <alignment horizontal="center" vertical="center" wrapText="1"/>
    </xf>
    <xf numFmtId="0" fontId="0" fillId="22" borderId="0" xfId="0" applyFill="1"/>
    <xf numFmtId="0" fontId="14" fillId="22" borderId="0" xfId="0" applyFont="1" applyFill="1" applyAlignment="1">
      <alignment horizontal="right" vertical="center"/>
    </xf>
    <xf numFmtId="0" fontId="4" fillId="4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15" fillId="23" borderId="5" xfId="0" applyFont="1" applyFill="1" applyBorder="1" applyAlignment="1">
      <alignment horizontal="center"/>
    </xf>
    <xf numFmtId="0" fontId="15" fillId="23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4" fillId="24" borderId="2" xfId="0" applyFont="1" applyFill="1" applyBorder="1" applyAlignment="1">
      <alignment horizontal="center"/>
    </xf>
    <xf numFmtId="49" fontId="15" fillId="23" borderId="5" xfId="0" applyNumberFormat="1" applyFont="1" applyFill="1" applyBorder="1" applyAlignment="1">
      <alignment horizontal="center"/>
    </xf>
    <xf numFmtId="0" fontId="4" fillId="12" borderId="3" xfId="0" applyFont="1" applyFill="1" applyBorder="1" applyAlignment="1">
      <alignment horizontal="left" vertical="center" wrapText="1"/>
    </xf>
    <xf numFmtId="0" fontId="15" fillId="25" borderId="6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 vertical="center" wrapText="1"/>
    </xf>
    <xf numFmtId="0" fontId="15" fillId="25" borderId="6" xfId="0" applyFont="1" applyFill="1" applyBorder="1" applyAlignment="1">
      <alignment horizontal="left"/>
    </xf>
    <xf numFmtId="0" fontId="5" fillId="12" borderId="3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 wrapText="1"/>
    </xf>
    <xf numFmtId="0" fontId="16" fillId="25" borderId="6" xfId="0" applyFont="1" applyFill="1" applyBorder="1" applyAlignment="1">
      <alignment horizontal="left"/>
    </xf>
    <xf numFmtId="0" fontId="16" fillId="27" borderId="5" xfId="0" applyFont="1" applyFill="1" applyBorder="1" applyAlignment="1">
      <alignment horizontal="left"/>
    </xf>
    <xf numFmtId="0" fontId="15" fillId="27" borderId="5" xfId="0" applyFont="1" applyFill="1" applyBorder="1" applyAlignment="1">
      <alignment horizontal="center"/>
    </xf>
    <xf numFmtId="0" fontId="15" fillId="27" borderId="5" xfId="0" applyFont="1" applyFill="1" applyBorder="1" applyAlignment="1">
      <alignment horizontal="left"/>
    </xf>
    <xf numFmtId="0" fontId="17" fillId="26" borderId="3" xfId="0" applyFont="1" applyFill="1" applyBorder="1" applyAlignment="1">
      <alignment horizontal="left" vertical="top" wrapText="1"/>
    </xf>
    <xf numFmtId="0" fontId="17" fillId="26" borderId="2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0" fontId="15" fillId="23" borderId="5" xfId="0" applyFont="1" applyFill="1" applyBorder="1" applyAlignment="1">
      <alignment horizontal="left"/>
    </xf>
    <xf numFmtId="0" fontId="15" fillId="23" borderId="6" xfId="0" applyFont="1" applyFill="1" applyBorder="1" applyAlignment="1">
      <alignment horizontal="left"/>
    </xf>
    <xf numFmtId="15" fontId="15" fillId="23" borderId="6" xfId="0" applyNumberFormat="1" applyFont="1" applyFill="1" applyBorder="1" applyAlignment="1">
      <alignment horizontal="left"/>
    </xf>
    <xf numFmtId="15" fontId="15" fillId="23" borderId="5" xfId="0" applyNumberFormat="1" applyFont="1" applyFill="1" applyBorder="1" applyAlignment="1">
      <alignment horizontal="left"/>
    </xf>
    <xf numFmtId="0" fontId="3" fillId="8" borderId="3" xfId="0" applyFont="1" applyFill="1" applyBorder="1" applyAlignment="1">
      <alignment horizontal="center" vertical="center" wrapText="1"/>
    </xf>
    <xf numFmtId="15" fontId="15" fillId="25" borderId="6" xfId="0" applyNumberFormat="1" applyFont="1" applyFill="1" applyBorder="1" applyAlignment="1">
      <alignment horizontal="left"/>
    </xf>
    <xf numFmtId="0" fontId="14" fillId="24" borderId="3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 vertical="center"/>
    </xf>
    <xf numFmtId="0" fontId="16" fillId="23" borderId="5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30613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75A"/>
      <rgbColor rgb="FFF3F3FF"/>
      <rgbColor rgb="FF888888"/>
      <rgbColor rgb="FF9999FF"/>
      <rgbColor rgb="FF993366"/>
      <rgbColor rgb="FFFFF8E1"/>
      <rgbColor rgb="FFE3F2FD"/>
      <rgbColor rgb="FF660066"/>
      <rgbColor rgb="FFFF8080"/>
      <rgbColor rgb="FF0052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8F8F8"/>
      <rgbColor rgb="FFF9F9F9"/>
      <rgbColor rgb="FF99CCFF"/>
      <rgbColor rgb="FFFF99CC"/>
      <rgbColor rgb="FFCC99FF"/>
      <rgbColor rgb="FFE8E8FF"/>
      <rgbColor rgb="FF3366FF"/>
      <rgbColor rgb="FF33CCCC"/>
      <rgbColor rgb="FF99CC00"/>
      <rgbColor rgb="FFFFCC00"/>
      <rgbColor rgb="FFFF8B00"/>
      <rgbColor rgb="FFFF6600"/>
      <rgbColor rgb="FF666699"/>
      <rgbColor rgb="FF969696"/>
      <rgbColor rgb="FF003366"/>
      <rgbColor rgb="FF339966"/>
      <rgbColor rgb="FF111111"/>
      <rgbColor rgb="FF1A1A1A"/>
      <rgbColor rgb="FFDE350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7FABD8-672A-4CEF-8104-318D16A8834B}">
  <we:reference id="WA200009404" version="1.0.0.8" store="en-us" storeType="omex"/>
  <we:alternateReferences>
    <we:reference id="WA200009404" version="1.0.0.8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zoomScaleNormal="100" workbookViewId="0">
      <pane ySplit="5" topLeftCell="A6" activePane="bottomLeft" state="frozen"/>
      <selection pane="bottomLeft" activeCell="J21" sqref="J21"/>
    </sheetView>
  </sheetViews>
  <sheetFormatPr defaultColWidth="8.7109375" defaultRowHeight="15"/>
  <cols>
    <col min="1" max="1" width="3" customWidth="1"/>
    <col min="2" max="2" width="32" customWidth="1"/>
    <col min="3" max="3" width="18" customWidth="1"/>
    <col min="4" max="6" width="14" customWidth="1"/>
    <col min="7" max="7" width="18" customWidth="1"/>
    <col min="8" max="8" width="14" customWidth="1"/>
    <col min="9" max="9" width="18" customWidth="1"/>
    <col min="10" max="10" width="14" customWidth="1"/>
    <col min="11" max="11" width="3" customWidth="1"/>
  </cols>
  <sheetData>
    <row r="1" spans="1:11" ht="7.5" customHeight="1"/>
    <row r="2" spans="1:11" ht="39.75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1.75" customHeight="1">
      <c r="A3" s="3" t="s">
        <v>1</v>
      </c>
      <c r="H3" s="39"/>
      <c r="I3" s="40" t="s">
        <v>2</v>
      </c>
      <c r="J3" s="39"/>
      <c r="K3" s="39"/>
    </row>
    <row r="4" spans="1:11" ht="18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</row>
    <row r="7" spans="1:11" ht="21.75" customHeight="1">
      <c r="B7" s="6" t="s">
        <v>12</v>
      </c>
      <c r="C7" s="7" t="s">
        <v>13</v>
      </c>
      <c r="D7" s="7">
        <v>1.4</v>
      </c>
      <c r="E7" s="35" t="s">
        <v>14</v>
      </c>
      <c r="F7" s="7" t="s">
        <v>15</v>
      </c>
      <c r="G7" s="7" t="s">
        <v>16</v>
      </c>
      <c r="H7" s="38">
        <v>46402</v>
      </c>
      <c r="I7" s="7" t="s">
        <v>17</v>
      </c>
      <c r="J7" s="36" t="s">
        <v>18</v>
      </c>
    </row>
    <row r="8" spans="1:11" ht="21.75" customHeight="1">
      <c r="B8" s="9" t="s">
        <v>19</v>
      </c>
      <c r="C8" s="10" t="s">
        <v>20</v>
      </c>
      <c r="D8" s="10">
        <v>2.2000000000000002</v>
      </c>
      <c r="E8" s="35" t="s">
        <v>14</v>
      </c>
      <c r="F8" s="10" t="s">
        <v>15</v>
      </c>
      <c r="G8" s="10" t="s">
        <v>16</v>
      </c>
      <c r="H8" s="10" t="s">
        <v>21</v>
      </c>
      <c r="I8" s="10" t="s">
        <v>22</v>
      </c>
      <c r="J8" s="36" t="s">
        <v>18</v>
      </c>
    </row>
    <row r="9" spans="1:11" ht="21.75" customHeight="1">
      <c r="B9" s="6" t="s">
        <v>23</v>
      </c>
      <c r="C9" s="7" t="s">
        <v>20</v>
      </c>
      <c r="D9" s="7">
        <v>1.1000000000000001</v>
      </c>
      <c r="E9" s="35" t="s">
        <v>14</v>
      </c>
      <c r="F9" s="7" t="s">
        <v>15</v>
      </c>
      <c r="G9" s="7" t="s">
        <v>16</v>
      </c>
      <c r="H9" s="7" t="s">
        <v>24</v>
      </c>
      <c r="I9" s="7" t="s">
        <v>25</v>
      </c>
      <c r="J9" s="36" t="s">
        <v>18</v>
      </c>
    </row>
    <row r="10" spans="1:11" ht="21.75" customHeight="1">
      <c r="B10" s="9" t="s">
        <v>26</v>
      </c>
      <c r="C10" s="10" t="s">
        <v>13</v>
      </c>
      <c r="D10" s="10" t="s">
        <v>27</v>
      </c>
      <c r="E10" s="8" t="s">
        <v>28</v>
      </c>
      <c r="F10" s="10" t="s">
        <v>15</v>
      </c>
      <c r="G10" s="10" t="s">
        <v>29</v>
      </c>
      <c r="H10" s="10" t="s">
        <v>30</v>
      </c>
      <c r="I10" s="10" t="s">
        <v>31</v>
      </c>
      <c r="J10" s="37" t="s">
        <v>32</v>
      </c>
    </row>
    <row r="11" spans="1:11" ht="21.75" customHeight="1">
      <c r="B11" s="6" t="s">
        <v>33</v>
      </c>
      <c r="C11" s="7" t="s">
        <v>34</v>
      </c>
      <c r="D11" s="7" t="s">
        <v>35</v>
      </c>
      <c r="E11" s="11" t="s">
        <v>14</v>
      </c>
      <c r="F11" s="7" t="s">
        <v>36</v>
      </c>
      <c r="G11" s="7" t="s">
        <v>37</v>
      </c>
      <c r="H11" s="7" t="s">
        <v>38</v>
      </c>
      <c r="I11" s="7" t="s">
        <v>39</v>
      </c>
      <c r="J11" s="12" t="s">
        <v>18</v>
      </c>
    </row>
    <row r="12" spans="1:11" ht="21.75" customHeight="1">
      <c r="B12" s="9" t="s">
        <v>40</v>
      </c>
      <c r="C12" s="10" t="s">
        <v>20</v>
      </c>
      <c r="D12" s="10" t="s">
        <v>41</v>
      </c>
      <c r="E12" s="8" t="s">
        <v>28</v>
      </c>
      <c r="F12" s="10" t="s">
        <v>15</v>
      </c>
      <c r="G12" s="10" t="s">
        <v>16</v>
      </c>
      <c r="H12" s="10" t="s">
        <v>21</v>
      </c>
      <c r="I12" s="10" t="s">
        <v>42</v>
      </c>
      <c r="J12" s="8" t="s">
        <v>32</v>
      </c>
    </row>
    <row r="13" spans="1:11" ht="21.75" customHeight="1">
      <c r="B13" s="6" t="s">
        <v>43</v>
      </c>
      <c r="C13" s="7" t="s">
        <v>34</v>
      </c>
      <c r="D13" s="7" t="s">
        <v>35</v>
      </c>
      <c r="E13" s="13" t="s">
        <v>44</v>
      </c>
      <c r="F13" s="7" t="s">
        <v>36</v>
      </c>
      <c r="G13" s="7" t="s">
        <v>45</v>
      </c>
      <c r="H13" s="7" t="s">
        <v>46</v>
      </c>
      <c r="I13" s="7" t="s">
        <v>47</v>
      </c>
      <c r="J13" s="13" t="s">
        <v>48</v>
      </c>
    </row>
    <row r="14" spans="1:11" ht="21.75" customHeight="1">
      <c r="B14" s="9" t="s">
        <v>49</v>
      </c>
      <c r="C14" s="10" t="s">
        <v>50</v>
      </c>
      <c r="D14" s="10" t="s">
        <v>35</v>
      </c>
      <c r="E14" s="8" t="s">
        <v>28</v>
      </c>
      <c r="F14" s="10" t="s">
        <v>51</v>
      </c>
      <c r="G14" s="10" t="s">
        <v>52</v>
      </c>
      <c r="H14" s="10" t="s">
        <v>53</v>
      </c>
      <c r="I14" s="10" t="s">
        <v>54</v>
      </c>
      <c r="J14" s="8" t="s">
        <v>32</v>
      </c>
    </row>
    <row r="15" spans="1:11" ht="21.75" customHeight="1">
      <c r="B15" s="6" t="s">
        <v>55</v>
      </c>
      <c r="C15" s="7" t="s">
        <v>50</v>
      </c>
      <c r="D15" s="7" t="s">
        <v>35</v>
      </c>
      <c r="E15" s="8" t="s">
        <v>28</v>
      </c>
      <c r="F15" s="7" t="s">
        <v>56</v>
      </c>
      <c r="G15" s="7" t="s">
        <v>52</v>
      </c>
      <c r="H15" s="7" t="s">
        <v>53</v>
      </c>
      <c r="I15" s="7" t="s">
        <v>57</v>
      </c>
      <c r="J15" s="8" t="s">
        <v>32</v>
      </c>
    </row>
    <row r="16" spans="1:11" ht="21.75" customHeight="1">
      <c r="B16" s="9" t="s">
        <v>58</v>
      </c>
      <c r="C16" s="10" t="s">
        <v>59</v>
      </c>
      <c r="D16" s="10" t="s">
        <v>35</v>
      </c>
      <c r="E16" s="13" t="s">
        <v>44</v>
      </c>
      <c r="F16" s="10" t="s">
        <v>15</v>
      </c>
      <c r="G16" s="10" t="s">
        <v>45</v>
      </c>
      <c r="H16" s="10" t="s">
        <v>60</v>
      </c>
      <c r="I16" s="10" t="s">
        <v>61</v>
      </c>
      <c r="J16" s="12" t="s">
        <v>18</v>
      </c>
    </row>
    <row r="17" spans="2:10" ht="21.75" customHeight="1">
      <c r="B17" s="6" t="s">
        <v>62</v>
      </c>
      <c r="C17" s="7" t="s">
        <v>63</v>
      </c>
      <c r="D17" s="7">
        <v>1.1000000000000001</v>
      </c>
      <c r="E17" s="13" t="s">
        <v>44</v>
      </c>
      <c r="F17" s="7" t="s">
        <v>15</v>
      </c>
      <c r="G17" s="7" t="s">
        <v>45</v>
      </c>
      <c r="H17" s="7" t="s">
        <v>46</v>
      </c>
      <c r="I17" s="7" t="s">
        <v>64</v>
      </c>
      <c r="J17" s="12" t="s">
        <v>18</v>
      </c>
    </row>
    <row r="18" spans="2:10" ht="21.75" customHeight="1">
      <c r="B18" s="9" t="s">
        <v>65</v>
      </c>
      <c r="C18" s="10" t="s">
        <v>20</v>
      </c>
      <c r="D18" s="10" t="s">
        <v>35</v>
      </c>
      <c r="E18" s="13" t="s">
        <v>44</v>
      </c>
      <c r="F18" s="10" t="s">
        <v>36</v>
      </c>
      <c r="G18" s="10" t="s">
        <v>45</v>
      </c>
      <c r="H18" s="10" t="s">
        <v>46</v>
      </c>
      <c r="I18" s="10" t="s">
        <v>66</v>
      </c>
      <c r="J18" s="12" t="s">
        <v>18</v>
      </c>
    </row>
    <row r="19" spans="2:10" ht="21.75" customHeight="1">
      <c r="B19" s="41" t="s">
        <v>67</v>
      </c>
      <c r="C19" s="44" t="s">
        <v>50</v>
      </c>
      <c r="D19" s="44" t="s">
        <v>27</v>
      </c>
      <c r="E19" s="47" t="s">
        <v>28</v>
      </c>
      <c r="F19" s="44" t="s">
        <v>56</v>
      </c>
      <c r="G19" s="44" t="s">
        <v>52</v>
      </c>
      <c r="H19" s="44" t="s">
        <v>53</v>
      </c>
      <c r="I19" s="44" t="s">
        <v>68</v>
      </c>
      <c r="J19" s="47" t="s">
        <v>32</v>
      </c>
    </row>
    <row r="20" spans="2:10">
      <c r="B20" s="43" t="s">
        <v>69</v>
      </c>
      <c r="C20" s="45" t="s">
        <v>13</v>
      </c>
      <c r="D20" s="45">
        <v>1.1000000000000001</v>
      </c>
      <c r="E20" s="13" t="s">
        <v>44</v>
      </c>
      <c r="F20" s="45" t="s">
        <v>15</v>
      </c>
      <c r="G20" s="52">
        <v>46093</v>
      </c>
      <c r="H20" s="52">
        <v>46458</v>
      </c>
      <c r="I20" s="45" t="s">
        <v>70</v>
      </c>
      <c r="J20" s="51" t="s">
        <v>18</v>
      </c>
    </row>
    <row r="21" spans="2:10" ht="21.75" customHeight="1">
      <c r="B21" s="42" t="s">
        <v>71</v>
      </c>
      <c r="E21" s="48">
        <f>COUNTIF(E7:E20,"Live")</f>
        <v>5</v>
      </c>
      <c r="F21" s="48" t="s">
        <v>72</v>
      </c>
      <c r="G21" s="49">
        <f>COUNTIF(E7:E20,"Draft")</f>
        <v>5</v>
      </c>
      <c r="H21" s="49" t="s">
        <v>73</v>
      </c>
      <c r="I21" s="50">
        <f>COUNTIF(J7:J20,"Yes")</f>
        <v>5</v>
      </c>
      <c r="J21" s="50" t="s">
        <v>74</v>
      </c>
    </row>
  </sheetData>
  <dataValidations count="2">
    <dataValidation type="list" sqref="E7:E20" xr:uid="{00000000-0002-0000-0000-000000000000}">
      <formula1>"Live,Draft,Under Review,Expired,Archived"</formula1>
      <formula2>0</formula2>
    </dataValidation>
    <dataValidation type="list" sqref="J7:J19" xr:uid="{00000000-0002-0000-0000-000001000000}">
      <formula1>"Yes,No,Pending"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24"/>
  <sheetViews>
    <sheetView showGridLines="0" tabSelected="1" zoomScaleNormal="100" workbookViewId="0">
      <pane ySplit="4" topLeftCell="E20" activePane="bottomLeft" state="frozen"/>
      <selection pane="bottomLeft" activeCell="I25" sqref="I25"/>
    </sheetView>
  </sheetViews>
  <sheetFormatPr defaultColWidth="8.7109375" defaultRowHeight="15"/>
  <cols>
    <col min="1" max="1" width="3" customWidth="1"/>
    <col min="2" max="2" width="28" customWidth="1"/>
    <col min="3" max="3" width="16" customWidth="1"/>
    <col min="4" max="5" width="70" customWidth="1"/>
    <col min="6" max="6" width="18" customWidth="1"/>
    <col min="7" max="7" width="3" customWidth="1"/>
  </cols>
  <sheetData>
    <row r="2" spans="1:7" ht="37.5" customHeight="1">
      <c r="A2" s="2"/>
      <c r="B2" s="14" t="s">
        <v>75</v>
      </c>
      <c r="C2" s="2"/>
      <c r="D2" s="2"/>
      <c r="E2" s="2"/>
      <c r="F2" s="2"/>
      <c r="G2" s="2"/>
    </row>
    <row r="3" spans="1:7" ht="19.5" customHeight="1">
      <c r="A3" s="4"/>
      <c r="B3" s="4"/>
      <c r="C3" s="4"/>
      <c r="D3" s="4"/>
      <c r="E3" s="4"/>
      <c r="F3" s="4"/>
      <c r="G3" s="4"/>
    </row>
    <row r="4" spans="1:7" ht="19.5" customHeight="1">
      <c r="B4" s="15" t="s">
        <v>76</v>
      </c>
      <c r="C4" s="15" t="s">
        <v>77</v>
      </c>
      <c r="D4" s="15" t="s">
        <v>78</v>
      </c>
      <c r="E4" s="15" t="s">
        <v>79</v>
      </c>
      <c r="F4" s="16" t="s">
        <v>80</v>
      </c>
    </row>
    <row r="5" spans="1:7" ht="49.5" customHeight="1">
      <c r="B5" s="6" t="s">
        <v>12</v>
      </c>
      <c r="C5" s="7" t="s">
        <v>81</v>
      </c>
      <c r="D5" s="17" t="s">
        <v>82</v>
      </c>
      <c r="E5" s="17" t="s">
        <v>83</v>
      </c>
      <c r="F5" s="18" t="s">
        <v>84</v>
      </c>
    </row>
    <row r="6" spans="1:7" ht="49.5" customHeight="1">
      <c r="B6" s="19" t="s">
        <v>12</v>
      </c>
      <c r="C6" s="20" t="s">
        <v>85</v>
      </c>
      <c r="D6" s="21" t="s">
        <v>86</v>
      </c>
      <c r="E6" s="21" t="s">
        <v>83</v>
      </c>
      <c r="F6" s="18" t="s">
        <v>87</v>
      </c>
    </row>
    <row r="7" spans="1:7" ht="49.5" customHeight="1">
      <c r="B7" s="6" t="s">
        <v>12</v>
      </c>
      <c r="C7" s="7" t="s">
        <v>88</v>
      </c>
      <c r="D7" s="17" t="s">
        <v>89</v>
      </c>
      <c r="E7" s="17" t="s">
        <v>83</v>
      </c>
      <c r="F7" s="17"/>
    </row>
    <row r="8" spans="1:7" ht="49.5" customHeight="1">
      <c r="B8" s="19" t="s">
        <v>19</v>
      </c>
      <c r="C8" s="20" t="s">
        <v>90</v>
      </c>
      <c r="D8" s="21" t="s">
        <v>91</v>
      </c>
      <c r="E8" s="21" t="s">
        <v>83</v>
      </c>
      <c r="F8" s="18" t="s">
        <v>92</v>
      </c>
    </row>
    <row r="9" spans="1:7" ht="49.5" customHeight="1">
      <c r="B9" s="6" t="s">
        <v>19</v>
      </c>
      <c r="C9" s="7" t="s">
        <v>93</v>
      </c>
      <c r="D9" s="17" t="s">
        <v>94</v>
      </c>
      <c r="E9" s="17" t="s">
        <v>83</v>
      </c>
      <c r="F9" s="18" t="s">
        <v>95</v>
      </c>
    </row>
    <row r="10" spans="1:7" ht="49.5" customHeight="1">
      <c r="B10" s="19" t="s">
        <v>19</v>
      </c>
      <c r="C10" s="20" t="s">
        <v>96</v>
      </c>
      <c r="D10" s="21" t="s">
        <v>97</v>
      </c>
      <c r="E10" s="21" t="s">
        <v>83</v>
      </c>
      <c r="F10" s="21"/>
    </row>
    <row r="11" spans="1:7" ht="49.5" customHeight="1">
      <c r="B11" s="6" t="s">
        <v>23</v>
      </c>
      <c r="C11" s="7" t="s">
        <v>98</v>
      </c>
      <c r="D11" s="17" t="s">
        <v>99</v>
      </c>
      <c r="E11" s="17" t="s">
        <v>83</v>
      </c>
      <c r="F11" s="18" t="s">
        <v>100</v>
      </c>
    </row>
    <row r="12" spans="1:7" ht="49.5" customHeight="1">
      <c r="B12" s="19" t="s">
        <v>23</v>
      </c>
      <c r="C12" s="20" t="s">
        <v>101</v>
      </c>
      <c r="D12" s="21" t="s">
        <v>102</v>
      </c>
      <c r="E12" s="21" t="s">
        <v>83</v>
      </c>
      <c r="F12" s="21"/>
    </row>
    <row r="13" spans="1:7" ht="49.5" customHeight="1">
      <c r="B13" s="6" t="s">
        <v>26</v>
      </c>
      <c r="C13" s="7" t="s">
        <v>103</v>
      </c>
      <c r="D13" s="17" t="s">
        <v>104</v>
      </c>
      <c r="E13" s="17" t="s">
        <v>83</v>
      </c>
      <c r="F13" s="17"/>
    </row>
    <row r="14" spans="1:7" ht="49.5" customHeight="1">
      <c r="B14" s="19" t="s">
        <v>33</v>
      </c>
      <c r="C14" s="20" t="s">
        <v>105</v>
      </c>
      <c r="D14" s="21" t="s">
        <v>106</v>
      </c>
      <c r="E14" s="21" t="s">
        <v>83</v>
      </c>
      <c r="F14" s="18" t="s">
        <v>107</v>
      </c>
    </row>
    <row r="15" spans="1:7" ht="49.5" customHeight="1">
      <c r="B15" s="6" t="s">
        <v>43</v>
      </c>
      <c r="C15" s="7" t="s">
        <v>108</v>
      </c>
      <c r="D15" s="17"/>
      <c r="E15" s="22" t="s">
        <v>109</v>
      </c>
      <c r="F15" s="18" t="s">
        <v>110</v>
      </c>
    </row>
    <row r="16" spans="1:7" ht="49.5" customHeight="1">
      <c r="B16" s="19" t="s">
        <v>49</v>
      </c>
      <c r="C16" s="20" t="s">
        <v>111</v>
      </c>
      <c r="D16" s="21" t="s">
        <v>112</v>
      </c>
      <c r="E16" s="21" t="s">
        <v>83</v>
      </c>
      <c r="F16" s="21"/>
    </row>
    <row r="17" spans="2:6" ht="49.5" customHeight="1">
      <c r="B17" s="6" t="s">
        <v>49</v>
      </c>
      <c r="C17" s="7" t="s">
        <v>113</v>
      </c>
      <c r="D17" s="17" t="s">
        <v>114</v>
      </c>
      <c r="E17" s="17" t="s">
        <v>83</v>
      </c>
      <c r="F17" s="17"/>
    </row>
    <row r="18" spans="2:6" ht="49.5" customHeight="1">
      <c r="B18" s="19" t="s">
        <v>55</v>
      </c>
      <c r="C18" s="20" t="s">
        <v>115</v>
      </c>
      <c r="D18" s="21" t="s">
        <v>116</v>
      </c>
      <c r="E18" s="21" t="s">
        <v>83</v>
      </c>
      <c r="F18" s="21"/>
    </row>
    <row r="19" spans="2:6" ht="49.5" customHeight="1">
      <c r="B19" s="6" t="s">
        <v>67</v>
      </c>
      <c r="C19" s="7" t="s">
        <v>117</v>
      </c>
      <c r="D19" s="17" t="s">
        <v>118</v>
      </c>
      <c r="E19" s="17" t="s">
        <v>83</v>
      </c>
      <c r="F19" s="17"/>
    </row>
    <row r="20" spans="2:6" ht="49.5" customHeight="1">
      <c r="B20" s="19" t="s">
        <v>58</v>
      </c>
      <c r="C20" s="20" t="s">
        <v>119</v>
      </c>
      <c r="D20" s="21"/>
      <c r="E20" s="22" t="s">
        <v>120</v>
      </c>
      <c r="F20" s="18" t="s">
        <v>121</v>
      </c>
    </row>
    <row r="21" spans="2:6" ht="49.5" customHeight="1">
      <c r="B21" s="6" t="s">
        <v>62</v>
      </c>
      <c r="C21" s="7" t="s">
        <v>122</v>
      </c>
      <c r="D21" s="17"/>
      <c r="E21" s="22" t="s">
        <v>123</v>
      </c>
      <c r="F21" s="18" t="s">
        <v>124</v>
      </c>
    </row>
    <row r="22" spans="2:6" ht="49.5" customHeight="1">
      <c r="B22" s="53" t="s">
        <v>65</v>
      </c>
      <c r="C22" s="55" t="s">
        <v>125</v>
      </c>
      <c r="D22" s="57"/>
      <c r="E22" s="58" t="s">
        <v>126</v>
      </c>
      <c r="F22" s="59" t="s">
        <v>127</v>
      </c>
    </row>
    <row r="23" spans="2:6" ht="77.25">
      <c r="B23" s="60" t="s">
        <v>69</v>
      </c>
      <c r="C23" s="54" t="s">
        <v>128</v>
      </c>
      <c r="D23" s="56" t="s">
        <v>129</v>
      </c>
      <c r="E23" s="56" t="s">
        <v>83</v>
      </c>
      <c r="F23" s="64" t="s">
        <v>130</v>
      </c>
    </row>
    <row r="24" spans="2:6" ht="66.75">
      <c r="B24" s="61" t="s">
        <v>62</v>
      </c>
      <c r="C24" s="62" t="s">
        <v>128</v>
      </c>
      <c r="D24" s="63" t="s">
        <v>131</v>
      </c>
      <c r="E24" s="63" t="s">
        <v>83</v>
      </c>
      <c r="F24" s="65" t="s">
        <v>132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8"/>
  <sheetViews>
    <sheetView showGridLines="0" zoomScaleNormal="100" workbookViewId="0">
      <pane ySplit="4" topLeftCell="A5" activePane="bottomLeft" state="frozen"/>
      <selection pane="bottomLeft" activeCell="G10" sqref="G10"/>
    </sheetView>
  </sheetViews>
  <sheetFormatPr defaultColWidth="8.7109375" defaultRowHeight="15"/>
  <cols>
    <col min="1" max="1" width="3" customWidth="1"/>
    <col min="2" max="2" width="30" customWidth="1"/>
    <col min="3" max="3" width="10" customWidth="1"/>
    <col min="4" max="4" width="14" customWidth="1"/>
    <col min="5" max="5" width="18" customWidth="1"/>
    <col min="6" max="6" width="50" customWidth="1"/>
    <col min="7" max="7" width="16" customWidth="1"/>
    <col min="8" max="8" width="3" customWidth="1"/>
  </cols>
  <sheetData>
    <row r="2" spans="1:8" ht="37.5" customHeight="1">
      <c r="A2" s="2"/>
      <c r="B2" s="14" t="s">
        <v>133</v>
      </c>
      <c r="C2" s="2"/>
      <c r="D2" s="2"/>
      <c r="E2" s="2"/>
      <c r="F2" s="2"/>
      <c r="G2" s="2"/>
      <c r="H2" s="2"/>
    </row>
    <row r="3" spans="1:8" ht="15" customHeight="1">
      <c r="A3" s="4"/>
      <c r="B3" s="4"/>
      <c r="C3" s="4"/>
      <c r="D3" s="4"/>
      <c r="E3" s="4"/>
      <c r="F3" s="4"/>
      <c r="G3" s="4"/>
      <c r="H3" s="4"/>
    </row>
    <row r="4" spans="1:8" ht="15" customHeight="1">
      <c r="B4" s="15" t="s">
        <v>3</v>
      </c>
      <c r="C4" s="15" t="s">
        <v>5</v>
      </c>
      <c r="D4" s="15" t="s">
        <v>134</v>
      </c>
      <c r="E4" s="15" t="s">
        <v>135</v>
      </c>
      <c r="F4" s="15" t="s">
        <v>136</v>
      </c>
      <c r="G4" s="15" t="s">
        <v>137</v>
      </c>
    </row>
    <row r="5" spans="1:8" ht="21.75" customHeight="1">
      <c r="B5" s="17" t="s">
        <v>12</v>
      </c>
      <c r="C5" s="17" t="s">
        <v>138</v>
      </c>
      <c r="D5" s="17" t="s">
        <v>16</v>
      </c>
      <c r="E5" s="17" t="s">
        <v>15</v>
      </c>
      <c r="F5" s="17" t="s">
        <v>139</v>
      </c>
      <c r="G5" s="8" t="s">
        <v>32</v>
      </c>
    </row>
    <row r="6" spans="1:8" ht="21.75" customHeight="1">
      <c r="B6" s="23" t="s">
        <v>12</v>
      </c>
      <c r="C6" s="23" t="s">
        <v>41</v>
      </c>
      <c r="D6" s="23" t="s">
        <v>140</v>
      </c>
      <c r="E6" s="23" t="s">
        <v>15</v>
      </c>
      <c r="F6" s="23" t="s">
        <v>141</v>
      </c>
      <c r="G6" s="8" t="s">
        <v>32</v>
      </c>
    </row>
    <row r="7" spans="1:8" ht="21.75" customHeight="1">
      <c r="B7" s="17" t="s">
        <v>12</v>
      </c>
      <c r="C7" s="17" t="s">
        <v>27</v>
      </c>
      <c r="D7" s="17" t="s">
        <v>142</v>
      </c>
      <c r="E7" s="17" t="s">
        <v>15</v>
      </c>
      <c r="F7" s="17" t="s">
        <v>143</v>
      </c>
      <c r="G7" s="8" t="s">
        <v>32</v>
      </c>
    </row>
    <row r="8" spans="1:8" ht="21.75" customHeight="1">
      <c r="B8" s="23" t="s">
        <v>19</v>
      </c>
      <c r="C8" s="23" t="s">
        <v>144</v>
      </c>
      <c r="D8" s="23" t="s">
        <v>16</v>
      </c>
      <c r="E8" s="23" t="s">
        <v>15</v>
      </c>
      <c r="F8" s="23" t="s">
        <v>145</v>
      </c>
      <c r="G8" s="8" t="s">
        <v>32</v>
      </c>
    </row>
    <row r="9" spans="1:8" ht="21.75" customHeight="1">
      <c r="B9" s="17" t="s">
        <v>19</v>
      </c>
      <c r="C9" s="17" t="s">
        <v>146</v>
      </c>
      <c r="D9" s="17" t="s">
        <v>147</v>
      </c>
      <c r="E9" s="17" t="s">
        <v>15</v>
      </c>
      <c r="F9" s="17" t="s">
        <v>148</v>
      </c>
      <c r="G9" s="8" t="s">
        <v>32</v>
      </c>
    </row>
    <row r="10" spans="1:8" ht="21.75" customHeight="1">
      <c r="B10" s="23" t="s">
        <v>23</v>
      </c>
      <c r="C10" s="23" t="s">
        <v>35</v>
      </c>
      <c r="D10" s="23" t="s">
        <v>16</v>
      </c>
      <c r="E10" s="23" t="s">
        <v>15</v>
      </c>
      <c r="F10" s="23" t="s">
        <v>149</v>
      </c>
      <c r="G10" s="8" t="s">
        <v>32</v>
      </c>
    </row>
    <row r="11" spans="1:8" ht="21.75" customHeight="1">
      <c r="B11" s="17" t="s">
        <v>26</v>
      </c>
      <c r="C11" s="17" t="s">
        <v>27</v>
      </c>
      <c r="D11" s="17" t="s">
        <v>29</v>
      </c>
      <c r="E11" s="17" t="s">
        <v>15</v>
      </c>
      <c r="F11" s="17" t="s">
        <v>150</v>
      </c>
      <c r="G11" s="8" t="s">
        <v>32</v>
      </c>
    </row>
    <row r="12" spans="1:8" ht="21.75" customHeight="1">
      <c r="B12" s="23" t="s">
        <v>49</v>
      </c>
      <c r="C12" s="23" t="s">
        <v>27</v>
      </c>
      <c r="D12" s="23" t="s">
        <v>52</v>
      </c>
      <c r="E12" s="23" t="s">
        <v>51</v>
      </c>
      <c r="F12" s="23" t="s">
        <v>151</v>
      </c>
      <c r="G12" s="8" t="s">
        <v>32</v>
      </c>
    </row>
    <row r="13" spans="1:8" ht="21.75" customHeight="1">
      <c r="B13" s="17" t="s">
        <v>43</v>
      </c>
      <c r="C13" s="17" t="s">
        <v>35</v>
      </c>
      <c r="D13" s="17" t="s">
        <v>45</v>
      </c>
      <c r="E13" s="17" t="s">
        <v>36</v>
      </c>
      <c r="F13" s="17" t="s">
        <v>152</v>
      </c>
      <c r="G13" s="12" t="s">
        <v>18</v>
      </c>
    </row>
    <row r="14" spans="1:8" ht="21.75" customHeight="1">
      <c r="B14" s="23" t="s">
        <v>58</v>
      </c>
      <c r="C14" s="23" t="s">
        <v>35</v>
      </c>
      <c r="D14" s="23" t="s">
        <v>45</v>
      </c>
      <c r="E14" s="23" t="s">
        <v>15</v>
      </c>
      <c r="F14" s="23" t="s">
        <v>153</v>
      </c>
      <c r="G14" s="12" t="s">
        <v>18</v>
      </c>
    </row>
    <row r="15" spans="1:8" ht="21.75" customHeight="1">
      <c r="B15" s="66" t="s">
        <v>62</v>
      </c>
      <c r="C15" s="66" t="s">
        <v>35</v>
      </c>
      <c r="D15" s="66" t="s">
        <v>45</v>
      </c>
      <c r="E15" s="66" t="s">
        <v>15</v>
      </c>
      <c r="F15" s="66" t="s">
        <v>153</v>
      </c>
      <c r="G15" s="71" t="s">
        <v>18</v>
      </c>
    </row>
    <row r="16" spans="1:8">
      <c r="B16" s="68" t="s">
        <v>12</v>
      </c>
      <c r="C16" s="68">
        <v>1.4</v>
      </c>
      <c r="D16" s="69">
        <v>46093</v>
      </c>
      <c r="E16" s="68" t="s">
        <v>15</v>
      </c>
      <c r="F16" s="68" t="s">
        <v>154</v>
      </c>
      <c r="G16" s="73" t="s">
        <v>18</v>
      </c>
    </row>
    <row r="17" spans="2:7">
      <c r="B17" s="56" t="s">
        <v>62</v>
      </c>
      <c r="C17" s="56">
        <v>1.1000000000000001</v>
      </c>
      <c r="D17" s="72">
        <v>46093</v>
      </c>
      <c r="E17" s="56" t="s">
        <v>15</v>
      </c>
      <c r="F17" s="56" t="s">
        <v>155</v>
      </c>
      <c r="G17" s="73" t="s">
        <v>18</v>
      </c>
    </row>
    <row r="18" spans="2:7">
      <c r="B18" s="67" t="s">
        <v>69</v>
      </c>
      <c r="C18" s="67">
        <v>1.1000000000000001</v>
      </c>
      <c r="D18" s="70">
        <v>46093</v>
      </c>
      <c r="E18" s="67" t="s">
        <v>15</v>
      </c>
      <c r="F18" s="67" t="s">
        <v>156</v>
      </c>
      <c r="G18" s="51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8"/>
  <sheetViews>
    <sheetView showGridLines="0" topLeftCell="A11" zoomScaleNormal="100" workbookViewId="0">
      <selection activeCell="G2" sqref="G2"/>
    </sheetView>
  </sheetViews>
  <sheetFormatPr defaultColWidth="8.7109375" defaultRowHeight="15"/>
  <cols>
    <col min="1" max="1" width="3" customWidth="1"/>
    <col min="2" max="2" width="22" customWidth="1"/>
    <col min="3" max="3" width="55" customWidth="1"/>
    <col min="4" max="4" width="22" customWidth="1"/>
    <col min="5" max="5" width="18" customWidth="1"/>
    <col min="6" max="6" width="22" customWidth="1"/>
    <col min="7" max="7" width="3" customWidth="1"/>
  </cols>
  <sheetData>
    <row r="2" spans="1:7" ht="37.5" customHeight="1">
      <c r="A2" s="2"/>
      <c r="B2" s="14" t="s">
        <v>157</v>
      </c>
      <c r="C2" s="2"/>
      <c r="D2" s="2"/>
      <c r="E2" s="2"/>
      <c r="F2" s="2"/>
      <c r="G2" s="2"/>
    </row>
    <row r="3" spans="1:7" ht="15" customHeight="1">
      <c r="A3" s="4"/>
      <c r="B3" s="4"/>
      <c r="C3" s="4"/>
      <c r="D3" s="4"/>
      <c r="E3" s="4"/>
      <c r="F3" s="4"/>
      <c r="G3" s="4"/>
    </row>
    <row r="4" spans="1:7" ht="21.75" customHeight="1">
      <c r="B4" s="15" t="s">
        <v>158</v>
      </c>
      <c r="C4" s="15" t="s">
        <v>159</v>
      </c>
      <c r="D4" s="15" t="s">
        <v>160</v>
      </c>
      <c r="E4" s="15" t="s">
        <v>161</v>
      </c>
      <c r="F4" s="15" t="s">
        <v>162</v>
      </c>
    </row>
    <row r="5" spans="1:7" ht="51.75" customHeight="1">
      <c r="B5" s="24" t="s">
        <v>163</v>
      </c>
      <c r="C5" s="23" t="s">
        <v>164</v>
      </c>
      <c r="D5" s="10" t="s">
        <v>165</v>
      </c>
      <c r="E5" s="10" t="s">
        <v>166</v>
      </c>
      <c r="F5" s="10" t="s">
        <v>167</v>
      </c>
    </row>
    <row r="6" spans="1:7" ht="51.75" customHeight="1">
      <c r="B6" s="24" t="s">
        <v>168</v>
      </c>
      <c r="C6" s="17" t="s">
        <v>169</v>
      </c>
      <c r="D6" s="7" t="s">
        <v>165</v>
      </c>
      <c r="E6" s="25" t="s">
        <v>170</v>
      </c>
      <c r="F6" s="7" t="s">
        <v>171</v>
      </c>
    </row>
    <row r="7" spans="1:7" ht="51.75" customHeight="1">
      <c r="B7" s="24" t="s">
        <v>172</v>
      </c>
      <c r="C7" s="23" t="s">
        <v>173</v>
      </c>
      <c r="D7" s="10" t="s">
        <v>174</v>
      </c>
      <c r="E7" s="10" t="s">
        <v>175</v>
      </c>
      <c r="F7" s="10" t="s">
        <v>176</v>
      </c>
    </row>
    <row r="8" spans="1:7" ht="51.75" customHeight="1">
      <c r="B8" s="24" t="s">
        <v>177</v>
      </c>
      <c r="C8" s="17" t="s">
        <v>178</v>
      </c>
      <c r="D8" s="7" t="s">
        <v>15</v>
      </c>
      <c r="E8" s="7" t="s">
        <v>166</v>
      </c>
      <c r="F8" s="7" t="s">
        <v>179</v>
      </c>
    </row>
    <row r="9" spans="1:7" ht="51.75" customHeight="1">
      <c r="B9" s="24" t="s">
        <v>180</v>
      </c>
      <c r="C9" s="23" t="s">
        <v>181</v>
      </c>
      <c r="D9" s="10" t="s">
        <v>182</v>
      </c>
      <c r="E9" s="10" t="s">
        <v>183</v>
      </c>
      <c r="F9" s="10" t="s">
        <v>184</v>
      </c>
    </row>
    <row r="10" spans="1:7" ht="51.75" customHeight="1">
      <c r="B10" s="24" t="s">
        <v>185</v>
      </c>
      <c r="C10" s="17" t="s">
        <v>186</v>
      </c>
      <c r="D10" s="7" t="s">
        <v>56</v>
      </c>
      <c r="E10" s="7" t="s">
        <v>166</v>
      </c>
      <c r="F10" s="7" t="s">
        <v>187</v>
      </c>
    </row>
    <row r="11" spans="1:7" ht="51.75" customHeight="1">
      <c r="B11" s="24" t="s">
        <v>188</v>
      </c>
      <c r="C11" s="23" t="s">
        <v>189</v>
      </c>
      <c r="D11" s="10" t="s">
        <v>190</v>
      </c>
      <c r="E11" s="10" t="s">
        <v>191</v>
      </c>
      <c r="F11" s="10" t="s">
        <v>192</v>
      </c>
    </row>
    <row r="14" spans="1:7" ht="15" customHeight="1">
      <c r="B14" s="26" t="s">
        <v>193</v>
      </c>
      <c r="C14" s="27"/>
      <c r="D14" s="27"/>
      <c r="E14" s="27"/>
      <c r="F14" s="27"/>
    </row>
    <row r="15" spans="1:7" ht="64.5" customHeight="1">
      <c r="B15" s="28" t="s">
        <v>194</v>
      </c>
      <c r="C15" s="33" t="s">
        <v>195</v>
      </c>
      <c r="D15" s="33"/>
      <c r="E15" s="33"/>
      <c r="F15" s="33"/>
    </row>
    <row r="16" spans="1:7" ht="64.5" customHeight="1">
      <c r="B16" s="28" t="s">
        <v>196</v>
      </c>
      <c r="C16" s="34" t="s">
        <v>197</v>
      </c>
      <c r="D16" s="34"/>
      <c r="E16" s="34"/>
      <c r="F16" s="34"/>
    </row>
    <row r="17" spans="2:6" ht="64.5" customHeight="1">
      <c r="B17" s="28" t="s">
        <v>198</v>
      </c>
      <c r="C17" s="33" t="s">
        <v>199</v>
      </c>
      <c r="D17" s="33"/>
      <c r="E17" s="33"/>
      <c r="F17" s="33"/>
    </row>
    <row r="18" spans="2:6" ht="64.5" customHeight="1">
      <c r="B18" s="28" t="s">
        <v>200</v>
      </c>
      <c r="C18" s="34" t="s">
        <v>201</v>
      </c>
      <c r="D18" s="34"/>
      <c r="E18" s="34"/>
      <c r="F18" s="34"/>
    </row>
  </sheetData>
  <mergeCells count="4">
    <mergeCell ref="C15:F15"/>
    <mergeCell ref="C16:F16"/>
    <mergeCell ref="C17:F17"/>
    <mergeCell ref="C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18"/>
  <sheetViews>
    <sheetView showGridLines="0" zoomScaleNormal="100" workbookViewId="0">
      <selection activeCell="E5" sqref="E5"/>
    </sheetView>
  </sheetViews>
  <sheetFormatPr defaultColWidth="8.7109375" defaultRowHeight="15"/>
  <cols>
    <col min="1" max="1" width="3" customWidth="1"/>
    <col min="2" max="2" width="30" customWidth="1"/>
    <col min="3" max="5" width="14" customWidth="1"/>
    <col min="6" max="6" width="22" customWidth="1"/>
    <col min="7" max="7" width="20" customWidth="1"/>
    <col min="8" max="8" width="3" customWidth="1"/>
  </cols>
  <sheetData>
    <row r="2" spans="1:8" ht="37.5" customHeight="1">
      <c r="A2" s="2"/>
      <c r="B2" s="14" t="s">
        <v>202</v>
      </c>
      <c r="C2" s="2"/>
      <c r="D2" s="2"/>
      <c r="E2" s="2"/>
      <c r="F2" s="2"/>
      <c r="G2" s="2"/>
      <c r="H2" s="2"/>
    </row>
    <row r="3" spans="1:8" ht="15" customHeight="1">
      <c r="A3" s="4"/>
      <c r="B3" s="4"/>
      <c r="C3" s="4"/>
      <c r="D3" s="4"/>
      <c r="E3" s="4"/>
      <c r="F3" s="4"/>
      <c r="G3" s="4"/>
      <c r="H3" s="4"/>
    </row>
    <row r="4" spans="1:8" ht="15" customHeight="1">
      <c r="B4" s="15" t="s">
        <v>3</v>
      </c>
      <c r="C4" s="15" t="s">
        <v>9</v>
      </c>
      <c r="D4" s="15" t="s">
        <v>203</v>
      </c>
      <c r="E4" s="15" t="s">
        <v>204</v>
      </c>
      <c r="F4" s="15" t="s">
        <v>205</v>
      </c>
      <c r="G4" s="15" t="s">
        <v>206</v>
      </c>
    </row>
    <row r="5" spans="1:8" ht="21.75" customHeight="1">
      <c r="B5" s="6" t="s">
        <v>23</v>
      </c>
      <c r="C5" s="7" t="s">
        <v>24</v>
      </c>
      <c r="D5" s="29">
        <f ca="1">IFERROR(DATEVALUE(C5)-TODAY(),"—")</f>
        <v>125</v>
      </c>
      <c r="E5" s="29" t="str">
        <f ca="1">IF(D5="—","—",IF(D5&lt;30,"🔴 URGENT",IF(D5&lt;90,"🟡 SOON","🟢 OK")))</f>
        <v>🟢 OK</v>
      </c>
      <c r="F5" s="7" t="s">
        <v>15</v>
      </c>
      <c r="G5" s="30" t="str">
        <f ca="1">IF(D5="—","—",IF(D5&lt;30,"REVIEW NOW",IF(D5&lt;90,"Schedule review","Monitor")))</f>
        <v>Monitor</v>
      </c>
    </row>
    <row r="6" spans="1:8" ht="21.75" customHeight="1">
      <c r="B6" s="9" t="s">
        <v>58</v>
      </c>
      <c r="C6" s="10" t="s">
        <v>60</v>
      </c>
      <c r="D6" s="31">
        <f ca="1">IFERROR(DATEVALUE(C6)-TODAY(),"—")</f>
        <v>173</v>
      </c>
      <c r="E6" s="31" t="str">
        <f ca="1">IF(D6="—","—",IF(D6&lt;30,"🔴 URGENT",IF(D6&lt;90,"🟡 SOON","🟢 OK")))</f>
        <v>🟢 OK</v>
      </c>
      <c r="F6" s="10" t="s">
        <v>15</v>
      </c>
      <c r="G6" s="32" t="str">
        <f ca="1">IF(D6="—","—",IF(D6&lt;30,"REVIEW NOW",IF(D6&lt;90,"Schedule review","Monitor")))</f>
        <v>Monitor</v>
      </c>
    </row>
    <row r="7" spans="1:8" ht="21.75" customHeight="1">
      <c r="B7" s="6" t="s">
        <v>12</v>
      </c>
      <c r="C7" s="7" t="s">
        <v>21</v>
      </c>
      <c r="D7" s="29">
        <f ca="1">IFERROR(DATEVALUE(C7)-TODAY(),"—")</f>
        <v>309</v>
      </c>
      <c r="E7" s="29" t="str">
        <f ca="1">IF(D7="—","—",IF(D7&lt;30,"🔴 URGENT",IF(D7&lt;90,"🟡 SOON","🟢 OK")))</f>
        <v>🟢 OK</v>
      </c>
      <c r="F7" s="7" t="s">
        <v>15</v>
      </c>
      <c r="G7" s="30" t="str">
        <f ca="1">IF(D7="—","—",IF(D7&lt;30,"REVIEW NOW",IF(D7&lt;90,"Schedule review","Monitor")))</f>
        <v>Monitor</v>
      </c>
    </row>
    <row r="8" spans="1:8" ht="21.75" customHeight="1">
      <c r="B8" s="9" t="s">
        <v>19</v>
      </c>
      <c r="C8" s="10" t="s">
        <v>21</v>
      </c>
      <c r="D8" s="31">
        <f ca="1">IFERROR(DATEVALUE(C8)-TODAY(),"—")</f>
        <v>309</v>
      </c>
      <c r="E8" s="31" t="str">
        <f ca="1">IF(D8="—","—",IF(D8&lt;30,"🔴 URGENT",IF(D8&lt;90,"🟡 SOON","🟢 OK")))</f>
        <v>🟢 OK</v>
      </c>
      <c r="F8" s="10" t="s">
        <v>15</v>
      </c>
      <c r="G8" s="32" t="str">
        <f ca="1">IF(D8="—","—",IF(D8&lt;30,"REVIEW NOW",IF(D8&lt;90,"Schedule review","Monitor")))</f>
        <v>Monitor</v>
      </c>
    </row>
    <row r="9" spans="1:8" ht="21.75" customHeight="1">
      <c r="B9" s="6" t="s">
        <v>26</v>
      </c>
      <c r="C9" s="7" t="s">
        <v>30</v>
      </c>
      <c r="D9" s="29">
        <f ca="1">IFERROR(DATEVALUE(C9)-TODAY(),"—")</f>
        <v>326</v>
      </c>
      <c r="E9" s="29" t="str">
        <f ca="1">IF(D9="—","—",IF(D9&lt;30,"🔴 URGENT",IF(D9&lt;90,"🟡 SOON","🟢 OK")))</f>
        <v>🟢 OK</v>
      </c>
      <c r="F9" s="7" t="s">
        <v>15</v>
      </c>
      <c r="G9" s="30" t="str">
        <f ca="1">IF(D9="—","—",IF(D9&lt;30,"REVIEW NOW",IF(D9&lt;90,"Schedule review","Monitor")))</f>
        <v>Monitor</v>
      </c>
    </row>
    <row r="10" spans="1:8" ht="21.75" customHeight="1">
      <c r="B10" s="9" t="s">
        <v>33</v>
      </c>
      <c r="C10" s="10" t="s">
        <v>38</v>
      </c>
      <c r="D10" s="31">
        <f ca="1">IFERROR(DATEVALUE(C10)-TODAY(),"—")</f>
        <v>363</v>
      </c>
      <c r="E10" s="31" t="str">
        <f ca="1">IF(D10="—","—",IF(D10&lt;30,"🔴 URGENT",IF(D10&lt;90,"🟡 SOON","🟢 OK")))</f>
        <v>🟢 OK</v>
      </c>
      <c r="F10" s="10" t="s">
        <v>36</v>
      </c>
      <c r="G10" s="32" t="str">
        <f ca="1">IF(D10="—","—",IF(D10&lt;30,"REVIEW NOW",IF(D10&lt;90,"Schedule review","Monitor")))</f>
        <v>Monitor</v>
      </c>
    </row>
    <row r="11" spans="1:8" ht="21.75" customHeight="1">
      <c r="B11" s="6" t="s">
        <v>40</v>
      </c>
      <c r="C11" s="7" t="s">
        <v>21</v>
      </c>
      <c r="D11" s="29">
        <f ca="1">IFERROR(DATEVALUE(C11)-TODAY(),"—")</f>
        <v>309</v>
      </c>
      <c r="E11" s="29" t="str">
        <f ca="1">IF(D11="—","—",IF(D11&lt;30,"🔴 URGENT",IF(D11&lt;90,"🟡 SOON","🟢 OK")))</f>
        <v>🟢 OK</v>
      </c>
      <c r="F11" s="7" t="s">
        <v>15</v>
      </c>
      <c r="G11" s="30" t="str">
        <f ca="1">IF(D11="—","—",IF(D11&lt;30,"REVIEW NOW",IF(D11&lt;90,"Schedule review","Monitor")))</f>
        <v>Monitor</v>
      </c>
    </row>
    <row r="12" spans="1:8" ht="21.75" customHeight="1">
      <c r="B12" s="9" t="s">
        <v>43</v>
      </c>
      <c r="C12" s="10" t="s">
        <v>46</v>
      </c>
      <c r="D12" s="31">
        <f ca="1">IFERROR(DATEVALUE(C12)-TODAY(),"—")</f>
        <v>354</v>
      </c>
      <c r="E12" s="31" t="str">
        <f ca="1">IF(D12="—","—",IF(D12&lt;30,"🔴 URGENT",IF(D12&lt;90,"🟡 SOON","🟢 OK")))</f>
        <v>🟢 OK</v>
      </c>
      <c r="F12" s="10" t="s">
        <v>36</v>
      </c>
      <c r="G12" s="32" t="str">
        <f ca="1">IF(D12="—","—",IF(D12&lt;30,"REVIEW NOW",IF(D12&lt;90,"Schedule review","Monitor")))</f>
        <v>Monitor</v>
      </c>
    </row>
    <row r="13" spans="1:8" ht="21.75" customHeight="1">
      <c r="B13" s="6" t="s">
        <v>49</v>
      </c>
      <c r="C13" s="7" t="s">
        <v>53</v>
      </c>
      <c r="D13" s="29">
        <f ca="1">IFERROR(DATEVALUE(C13)-TODAY(),"—")</f>
        <v>314</v>
      </c>
      <c r="E13" s="29" t="str">
        <f ca="1">IF(D13="—","—",IF(D13&lt;30,"🔴 URGENT",IF(D13&lt;90,"🟡 SOON","🟢 OK")))</f>
        <v>🟢 OK</v>
      </c>
      <c r="F13" s="7" t="s">
        <v>51</v>
      </c>
      <c r="G13" s="30" t="str">
        <f ca="1">IF(D13="—","—",IF(D13&lt;30,"REVIEW NOW",IF(D13&lt;90,"Schedule review","Monitor")))</f>
        <v>Monitor</v>
      </c>
    </row>
    <row r="14" spans="1:8" ht="21.75" customHeight="1">
      <c r="B14" s="9" t="s">
        <v>55</v>
      </c>
      <c r="C14" s="10" t="s">
        <v>53</v>
      </c>
      <c r="D14" s="31">
        <f ca="1">IFERROR(DATEVALUE(C14)-TODAY(),"—")</f>
        <v>314</v>
      </c>
      <c r="E14" s="31" t="str">
        <f ca="1">IF(D14="—","—",IF(D14&lt;30,"🔴 URGENT",IF(D14&lt;90,"🟡 SOON","🟢 OK")))</f>
        <v>🟢 OK</v>
      </c>
      <c r="F14" s="10" t="s">
        <v>56</v>
      </c>
      <c r="G14" s="32" t="str">
        <f ca="1">IF(D14="—","—",IF(D14&lt;30,"REVIEW NOW",IF(D14&lt;90,"Schedule review","Monitor")))</f>
        <v>Monitor</v>
      </c>
    </row>
    <row r="15" spans="1:8" ht="21.75" customHeight="1">
      <c r="B15" s="6" t="s">
        <v>62</v>
      </c>
      <c r="C15" s="7" t="s">
        <v>46</v>
      </c>
      <c r="D15" s="29">
        <f ca="1">IFERROR(DATEVALUE(C15)-TODAY(),"—")</f>
        <v>354</v>
      </c>
      <c r="E15" s="29" t="str">
        <f ca="1">IF(D15="—","—",IF(D15&lt;30,"🔴 URGENT",IF(D15&lt;90,"🟡 SOON","🟢 OK")))</f>
        <v>🟢 OK</v>
      </c>
      <c r="F15" s="7" t="s">
        <v>15</v>
      </c>
      <c r="G15" s="30" t="str">
        <f ca="1">IF(D15="—","—",IF(D15&lt;30,"REVIEW NOW",IF(D15&lt;90,"Schedule review","Monitor")))</f>
        <v>Monitor</v>
      </c>
    </row>
    <row r="16" spans="1:8" ht="21.75" customHeight="1">
      <c r="B16" s="9" t="s">
        <v>65</v>
      </c>
      <c r="C16" s="10" t="s">
        <v>46</v>
      </c>
      <c r="D16" s="31">
        <f ca="1">IFERROR(DATEVALUE(C16)-TODAY(),"—")</f>
        <v>354</v>
      </c>
      <c r="E16" s="31" t="str">
        <f ca="1">IF(D16="—","—",IF(D16&lt;30,"🔴 URGENT",IF(D16&lt;90,"🟡 SOON","🟢 OK")))</f>
        <v>🟢 OK</v>
      </c>
      <c r="F16" s="10" t="s">
        <v>36</v>
      </c>
      <c r="G16" s="32" t="str">
        <f ca="1">IF(D16="—","—",IF(D16&lt;30,"REVIEW NOW",IF(D16&lt;90,"Schedule review","Monitor")))</f>
        <v>Monitor</v>
      </c>
    </row>
    <row r="17" spans="2:7" ht="21.75" customHeight="1">
      <c r="B17" s="41" t="s">
        <v>67</v>
      </c>
      <c r="C17" s="44" t="s">
        <v>53</v>
      </c>
      <c r="D17" s="74">
        <f ca="1">IFERROR(DATEVALUE(C17)-TODAY(),"—")</f>
        <v>314</v>
      </c>
      <c r="E17" s="74" t="str">
        <f ca="1">IF(D17="—","—",IF(D17&lt;30,"🔴 URGENT",IF(D17&lt;90,"🟡 SOON","🟢 OK")))</f>
        <v>🟢 OK</v>
      </c>
      <c r="F17" s="44" t="s">
        <v>56</v>
      </c>
      <c r="G17" s="76" t="str">
        <f ca="1">IF(D17="—","—",IF(D17&lt;30,"REVIEW NOW",IF(D17&lt;90,"Schedule review","Monitor")))</f>
        <v>Monitor</v>
      </c>
    </row>
    <row r="18" spans="2:7">
      <c r="B18" s="43" t="s">
        <v>69</v>
      </c>
      <c r="C18" s="52" t="s">
        <v>207</v>
      </c>
      <c r="D18" s="75">
        <f ca="1">IFERROR(DATEVALUE(C18)-TODAY(),"—")</f>
        <v>365</v>
      </c>
      <c r="E18" s="75" t="str">
        <f ca="1">IF(D18="—","—",IF(D18&lt;30,"🔴 URGENT",IF(D18&lt;90,"🟡 SOON","🟢 OK")))</f>
        <v>🟢 OK</v>
      </c>
      <c r="F18" s="45" t="s">
        <v>15</v>
      </c>
      <c r="G18" s="46" t="str">
        <f ca="1">IF(D18="—","—",IF(D18&lt;30,"REVIEW NOW",IF(D18&lt;90,"Schedule review","Monitor")))</f>
        <v>Monitor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9A60B63BA584396010EDB8C04B4F8" ma:contentTypeVersion="3" ma:contentTypeDescription="Create a new document." ma:contentTypeScope="" ma:versionID="19228b180bd03bf157349ce0425ca3c2">
  <xsd:schema xmlns:xsd="http://www.w3.org/2001/XMLSchema" xmlns:xs="http://www.w3.org/2001/XMLSchema" xmlns:p="http://schemas.microsoft.com/office/2006/metadata/properties" xmlns:ns2="7d63162e-7197-440c-8ce4-7301b93ed3ca" targetNamespace="http://schemas.microsoft.com/office/2006/metadata/properties" ma:root="true" ma:fieldsID="99871553e210e12fb1c9e69a87e55a5d" ns2:_="">
    <xsd:import namespace="7d63162e-7197-440c-8ce4-7301b93ed3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3162e-7197-440c-8ce4-7301b93ed3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93DCE3-BC71-4FE1-B577-A98BA30F70EB}"/>
</file>

<file path=customXml/itemProps2.xml><?xml version="1.0" encoding="utf-8"?>
<ds:datastoreItem xmlns:ds="http://schemas.openxmlformats.org/officeDocument/2006/customXml" ds:itemID="{1C719A01-9CBF-4B0B-85CE-4D9A33ED8828}"/>
</file>

<file path=customXml/itemProps3.xml><?xml version="1.0" encoding="utf-8"?>
<ds:datastoreItem xmlns:ds="http://schemas.openxmlformats.org/officeDocument/2006/customXml" ds:itemID="{3F45E6AF-DA54-4070-AC8C-C39B516D5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2026-03-11T22:23:07Z</dcterms:created>
  <dcterms:modified xsi:type="dcterms:W3CDTF">2026-03-12T21:34:38Z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0x0101003489A60B63BA584396010EDB8C04B4F8</vt:lpwstr>
  </property>
</Properties>
</file>